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. Faisal Parves\OneDrive\Desktop\"/>
    </mc:Choice>
  </mc:AlternateContent>
  <xr:revisionPtr revIDLastSave="0" documentId="13_ncr:1_{8F0B75AC-CE5E-4680-805A-3D30C6CD2B83}" xr6:coauthVersionLast="47" xr6:coauthVersionMax="47" xr10:uidLastSave="{00000000-0000-0000-0000-000000000000}"/>
  <bookViews>
    <workbookView xWindow="-120" yWindow="-120" windowWidth="20730" windowHeight="11040" xr2:uid="{4322842F-9103-43B5-9DB1-D221FBA0A926}"/>
  </bookViews>
  <sheets>
    <sheet name="Included VDS &amp; TD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 s="1"/>
  <c r="D7" i="1" s="1"/>
  <c r="D9" i="1" l="1"/>
  <c r="D14" i="1" s="1"/>
  <c r="D15" i="1" s="1"/>
  <c r="D17" i="1" s="1"/>
  <c r="D16" i="1" l="1"/>
  <c r="D18" i="1" s="1"/>
  <c r="D8" i="1"/>
  <c r="D22" i="1" s="1"/>
  <c r="D23" i="1" l="1"/>
  <c r="D24" i="1" s="1"/>
  <c r="D26" i="1" s="1"/>
  <c r="D25" i="1"/>
</calcChain>
</file>

<file path=xl/sharedStrings.xml><?xml version="1.0" encoding="utf-8"?>
<sst xmlns="http://schemas.openxmlformats.org/spreadsheetml/2006/main" count="24" uniqueCount="15">
  <si>
    <t>Rate (%)</t>
  </si>
  <si>
    <t>Amount</t>
  </si>
  <si>
    <t>TDS</t>
  </si>
  <si>
    <t>VDS</t>
  </si>
  <si>
    <t>Net amount after TDS Deduction</t>
  </si>
  <si>
    <t>Net amount after TDS &amp; VDS Deduction</t>
  </si>
  <si>
    <t>After VDS Deduction Amount</t>
  </si>
  <si>
    <t>Total Amount With TDS &amp; VDS</t>
  </si>
  <si>
    <t>Net Payable Amount</t>
  </si>
  <si>
    <t>Base Amount</t>
  </si>
  <si>
    <t>Total Amount</t>
  </si>
  <si>
    <t xml:space="preserve">VDS/TDS Calculation </t>
  </si>
  <si>
    <t>Only TDS Deduction Calculation</t>
  </si>
  <si>
    <t>Rate</t>
  </si>
  <si>
    <t>Total Pay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</si>
</sst>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/>
      <right/>
      <top style="double">
        <color rgb="FF7030A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43" fontId="0" fillId="0" borderId="5" xfId="0" applyNumberFormat="1" applyBorder="1"/>
    <xf numFmtId="43" fontId="0" fillId="0" borderId="7" xfId="0" applyNumberFormat="1" applyBorder="1"/>
    <xf numFmtId="0" fontId="1" fillId="0" borderId="9" xfId="0" applyFont="1" applyBorder="1"/>
    <xf numFmtId="0" fontId="1" fillId="0" borderId="10" xfId="0" applyFont="1" applyBorder="1"/>
    <xf numFmtId="0" fontId="0" fillId="0" borderId="9" xfId="0" applyBorder="1"/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3" fontId="0" fillId="0" borderId="23" xfId="0" applyNumberFormat="1" applyBorder="1"/>
    <xf numFmtId="43" fontId="0" fillId="0" borderId="23" xfId="1" applyNumberFormat="1" applyFont="1" applyBorder="1"/>
    <xf numFmtId="43" fontId="0" fillId="0" borderId="26" xfId="0" applyNumberFormat="1" applyBorder="1"/>
    <xf numFmtId="0" fontId="1" fillId="0" borderId="22" xfId="0" applyFont="1" applyBorder="1" applyAlignment="1">
      <alignment horizontal="right"/>
    </xf>
    <xf numFmtId="0" fontId="1" fillId="0" borderId="24" xfId="0" applyFont="1" applyBorder="1" applyAlignment="1">
      <alignment horizontal="right"/>
    </xf>
    <xf numFmtId="0" fontId="0" fillId="0" borderId="8" xfId="0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2" fontId="0" fillId="0" borderId="10" xfId="0" applyNumberFormat="1" applyBorder="1"/>
    <xf numFmtId="0" fontId="1" fillId="0" borderId="27" xfId="0" applyFont="1" applyBorder="1"/>
    <xf numFmtId="43" fontId="1" fillId="2" borderId="23" xfId="0" applyNumberFormat="1" applyFont="1" applyFill="1" applyBorder="1"/>
    <xf numFmtId="2" fontId="1" fillId="2" borderId="8" xfId="0" applyNumberFormat="1" applyFont="1" applyFill="1" applyBorder="1"/>
    <xf numFmtId="2" fontId="0" fillId="0" borderId="9" xfId="0" applyNumberFormat="1" applyBorder="1"/>
    <xf numFmtId="4" fontId="0" fillId="2" borderId="0" xfId="0" applyNumberFormat="1" applyFill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8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9D6A-16E2-47B3-B24A-DD3E2E73919E}">
  <dimension ref="B1:D26"/>
  <sheetViews>
    <sheetView tabSelected="1" topLeftCell="A10" workbookViewId="0">
      <selection activeCell="D4" sqref="D4"/>
    </sheetView>
  </sheetViews>
  <sheetFormatPr defaultRowHeight="15" x14ac:dyDescent="0.25"/>
  <cols>
    <col min="2" max="2" width="51.5703125" customWidth="1"/>
    <col min="3" max="3" width="9.140625" style="34" bestFit="1" customWidth="1"/>
    <col min="4" max="4" width="20.42578125" bestFit="1" customWidth="1"/>
    <col min="5" max="5" width="10.5703125" bestFit="1" customWidth="1"/>
  </cols>
  <sheetData>
    <row r="1" spans="2:4" ht="7.5" customHeight="1" thickTop="1" x14ac:dyDescent="0.25">
      <c r="B1" s="1"/>
      <c r="C1" s="27"/>
      <c r="D1" s="1"/>
    </row>
    <row r="2" spans="2:4" ht="18.75" x14ac:dyDescent="0.3">
      <c r="B2" s="41" t="s">
        <v>11</v>
      </c>
      <c r="C2" s="42"/>
      <c r="D2" s="43"/>
    </row>
    <row r="3" spans="2:4" ht="15.75" x14ac:dyDescent="0.25">
      <c r="B3" s="8"/>
      <c r="C3" s="8" t="s">
        <v>0</v>
      </c>
      <c r="D3" s="9" t="s">
        <v>1</v>
      </c>
    </row>
    <row r="4" spans="2:4" x14ac:dyDescent="0.25">
      <c r="B4" s="4" t="s">
        <v>7</v>
      </c>
      <c r="C4" s="28"/>
      <c r="D4" s="26"/>
    </row>
    <row r="5" spans="2:4" x14ac:dyDescent="0.25">
      <c r="B5" s="4" t="s">
        <v>3</v>
      </c>
      <c r="C5" s="28">
        <v>15</v>
      </c>
      <c r="D5" s="2">
        <f>D4/(100+C5)%*C5%</f>
        <v>0</v>
      </c>
    </row>
    <row r="6" spans="2:4" x14ac:dyDescent="0.25">
      <c r="B6" s="4" t="s">
        <v>6</v>
      </c>
      <c r="C6" s="28"/>
      <c r="D6" s="2">
        <f>D4-D5</f>
        <v>0</v>
      </c>
    </row>
    <row r="7" spans="2:4" x14ac:dyDescent="0.25">
      <c r="B7" s="4" t="s">
        <v>2</v>
      </c>
      <c r="C7" s="28">
        <v>5</v>
      </c>
      <c r="D7" s="2">
        <f>D6*C7%</f>
        <v>0</v>
      </c>
    </row>
    <row r="8" spans="2:4" x14ac:dyDescent="0.25">
      <c r="B8" s="4" t="s">
        <v>4</v>
      </c>
      <c r="C8" s="29"/>
      <c r="D8" s="2">
        <f>D4-D7</f>
        <v>0</v>
      </c>
    </row>
    <row r="9" spans="2:4" ht="15.75" thickBot="1" x14ac:dyDescent="0.3">
      <c r="B9" s="5" t="s">
        <v>5</v>
      </c>
      <c r="C9" s="30"/>
      <c r="D9" s="3">
        <f>D4-D5-D7</f>
        <v>0</v>
      </c>
    </row>
    <row r="12" spans="2:4" ht="15.75" thickBot="1" x14ac:dyDescent="0.3">
      <c r="B12" s="38"/>
      <c r="C12" s="39"/>
      <c r="D12" s="40"/>
    </row>
    <row r="13" spans="2:4" s="7" customFormat="1" ht="15.75" x14ac:dyDescent="0.25">
      <c r="B13" s="10"/>
      <c r="C13" s="11" t="s">
        <v>0</v>
      </c>
      <c r="D13" s="12" t="s">
        <v>1</v>
      </c>
    </row>
    <row r="14" spans="2:4" x14ac:dyDescent="0.25">
      <c r="B14" s="16" t="s">
        <v>8</v>
      </c>
      <c r="C14" s="31"/>
      <c r="D14" s="23">
        <f>D9</f>
        <v>0</v>
      </c>
    </row>
    <row r="15" spans="2:4" x14ac:dyDescent="0.25">
      <c r="B15" s="16" t="s">
        <v>9</v>
      </c>
      <c r="C15" s="31"/>
      <c r="D15" s="14">
        <f>D14/0.95</f>
        <v>0</v>
      </c>
    </row>
    <row r="16" spans="2:4" x14ac:dyDescent="0.25">
      <c r="B16" s="16" t="s">
        <v>2</v>
      </c>
      <c r="C16" s="32">
        <v>0.05</v>
      </c>
      <c r="D16" s="13">
        <f>D15*C16</f>
        <v>0</v>
      </c>
    </row>
    <row r="17" spans="2:4" x14ac:dyDescent="0.25">
      <c r="B17" s="16" t="s">
        <v>3</v>
      </c>
      <c r="C17" s="32">
        <v>0.15</v>
      </c>
      <c r="D17" s="13">
        <f>D15*C17</f>
        <v>0</v>
      </c>
    </row>
    <row r="18" spans="2:4" ht="15.75" thickBot="1" x14ac:dyDescent="0.3">
      <c r="B18" s="17" t="s">
        <v>10</v>
      </c>
      <c r="C18" s="33"/>
      <c r="D18" s="15">
        <f>D17+D16+D14</f>
        <v>0</v>
      </c>
    </row>
    <row r="19" spans="2:4" ht="15.75" thickBot="1" x14ac:dyDescent="0.3"/>
    <row r="20" spans="2:4" ht="15.75" thickBot="1" x14ac:dyDescent="0.3">
      <c r="B20" s="44" t="s">
        <v>12</v>
      </c>
      <c r="C20" s="45"/>
      <c r="D20" s="46"/>
    </row>
    <row r="21" spans="2:4" ht="15.75" thickBot="1" x14ac:dyDescent="0.3">
      <c r="B21" s="18"/>
      <c r="C21" s="35" t="s">
        <v>13</v>
      </c>
      <c r="D21" s="22" t="s">
        <v>1</v>
      </c>
    </row>
    <row r="22" spans="2:4" x14ac:dyDescent="0.25">
      <c r="B22" s="19" t="s">
        <v>14</v>
      </c>
      <c r="D22" s="24">
        <f>D8</f>
        <v>0</v>
      </c>
    </row>
    <row r="23" spans="2:4" x14ac:dyDescent="0.25">
      <c r="B23" s="19" t="s">
        <v>9</v>
      </c>
      <c r="D23" s="25">
        <f>D22/1.1</f>
        <v>0</v>
      </c>
    </row>
    <row r="24" spans="2:4" x14ac:dyDescent="0.25">
      <c r="B24" s="19" t="s">
        <v>2</v>
      </c>
      <c r="C24" s="36">
        <v>0.05</v>
      </c>
      <c r="D24" s="25">
        <f>D23*C24</f>
        <v>0</v>
      </c>
    </row>
    <row r="25" spans="2:4" hidden="1" x14ac:dyDescent="0.25">
      <c r="B25" s="19" t="s">
        <v>3</v>
      </c>
      <c r="C25" s="34">
        <v>15</v>
      </c>
      <c r="D25" s="6">
        <f>D22/C25</f>
        <v>0</v>
      </c>
    </row>
    <row r="26" spans="2:4" ht="15.75" thickBot="1" x14ac:dyDescent="0.3">
      <c r="B26" s="20" t="s">
        <v>14</v>
      </c>
      <c r="C26" s="37"/>
      <c r="D26" s="21">
        <f>D24+D22</f>
        <v>0</v>
      </c>
    </row>
  </sheetData>
  <mergeCells count="3">
    <mergeCell ref="B12:D12"/>
    <mergeCell ref="B2:D2"/>
    <mergeCell ref="B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Included VDS &amp; TDS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Mansur Rahman</dc:creator>
  <cp:lastModifiedBy>Md. Faisal Parves</cp:lastModifiedBy>
  <dcterms:created xsi:type="dcterms:W3CDTF">2025-01-18T11:34:59Z</dcterms:created>
  <dcterms:modified xsi:type="dcterms:W3CDTF">2026-01-06T16:05:35Z</dcterms:modified>
</cp:coreProperties>
</file>